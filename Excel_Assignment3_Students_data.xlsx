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A752C3DA-4952-4375-A109-4FBCA12703C3}" xr6:coauthVersionLast="37" xr6:coauthVersionMax="47" xr10:uidLastSave="{00000000-0000-0000-0000-000000000000}"/>
  <bookViews>
    <workbookView xWindow="0" yWindow="0" windowWidth="24000" windowHeight="9405" activeTab="5" xr2:uid="{00000000-000D-0000-FFFF-FFFF00000000}"/>
  </bookViews>
  <sheets>
    <sheet name="Students" sheetId="1" r:id="rId1"/>
    <sheet name="ID_Name" sheetId="2" r:id="rId2"/>
    <sheet name="ID_Marks" sheetId="3" r:id="rId3"/>
    <sheet name="ID_City" sheetId="4" r:id="rId4"/>
    <sheet name="Sample_20" sheetId="5" r:id="rId5"/>
    <sheet name="Solution " sheetId="6" r:id="rId6"/>
  </sheets>
  <calcPr calcId="179021"/>
</workbook>
</file>

<file path=xl/calcChain.xml><?xml version="1.0" encoding="utf-8"?>
<calcChain xmlns="http://schemas.openxmlformats.org/spreadsheetml/2006/main">
  <c r="B16" i="6" l="1"/>
  <c r="B17" i="6"/>
  <c r="B22" i="6"/>
  <c r="B21" i="6"/>
  <c r="B20" i="6"/>
  <c r="B19" i="6"/>
  <c r="B18" i="6"/>
  <c r="B15" i="6"/>
  <c r="B14" i="6"/>
  <c r="B13" i="6"/>
  <c r="B12" i="6"/>
  <c r="B11" i="6"/>
  <c r="B9" i="6"/>
  <c r="B10" i="6"/>
  <c r="B8" i="6"/>
  <c r="B7" i="6"/>
  <c r="B6" i="6"/>
  <c r="B5" i="6"/>
  <c r="B4" i="6"/>
  <c r="B3" i="6"/>
</calcChain>
</file>

<file path=xl/sharedStrings.xml><?xml version="1.0" encoding="utf-8"?>
<sst xmlns="http://schemas.openxmlformats.org/spreadsheetml/2006/main" count="278" uniqueCount="83">
  <si>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</si>
  <si>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</si>
  <si>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</si>
  <si>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</si>
  <si>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</si>
  <si>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</si>
  <si>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</si>
  <si>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</si>
  <si>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</si>
  <si>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</si>
  <si>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</si>
  <si>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</si>
  <si>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</si>
  <si>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</si>
  <si>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</si>
  <si>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</si>
  <si>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</si>
  <si>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</si>
  <si>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</si>
  <si>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</si>
  <si>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</si>
  <si>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</si>
  <si>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</si>
  <si>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</si>
  <si>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</si>
  <si>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</si>
  <si>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</si>
  <si>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</si>
  <si>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</si>
  <si>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</si>
  <si>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</si>
  <si>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</si>
  <si>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</si>
  <si>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</si>
  <si>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</si>
  <si>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</si>
  <si>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</si>
  <si>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</si>
  <si>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</si>
  <si>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</si>
  <si>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</si>
  <si>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</si>
  <si>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</si>
  <si>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</si>
  <si>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</si>
  <si>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</si>
  <si>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</si>
  <si>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</si>
  <si>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</si>
  <si>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</si>
  <si>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</si>
  <si>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</si>
  <si>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</si>
  <si>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</si>
  <si>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</si>
  <si>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</si>
  <si>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</si>
  <si>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</si>
  <si>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</si>
  <si>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</si>
  <si>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</si>
  <si>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>1. Find the Age of the student with ID = 10.</t>
  </si>
  <si>
    <t>Questions for VLOOKUP Practice:</t>
  </si>
  <si>
    <t>2. Find the Marks of the student with ID = 25.</t>
  </si>
  <si>
    <t>3. Find the City of the student with ID = 40.</t>
  </si>
  <si>
    <t>4. Find the Name of the student with ID = 7.</t>
  </si>
  <si>
    <t>5. Find the Marks of the student named Rohit Sharma.</t>
  </si>
  <si>
    <t>6. Find the Age of the student named Anjali Gupta.</t>
  </si>
  <si>
    <t>7. Find the City of the student named Neha Singh.</t>
  </si>
  <si>
    <t>8. Using ID_Marks sheet, fetch the marks of ID = 18.</t>
  </si>
  <si>
    <t>9. Using ID_City sheet, find the city of ID = 12.</t>
  </si>
  <si>
    <t>10. From ID_Name sheet, find the student name with ID = 30.</t>
  </si>
  <si>
    <t>11. From Students sheet, return the city of ID = 5.</t>
  </si>
  <si>
    <t>12. Return the marks of student whose ID = 33.</t>
  </si>
  <si>
    <t>13. Find the Name of student whose ID = 49.</t>
  </si>
  <si>
    <t>14. Find the Marks of student who lives in Lucknow (first match).</t>
  </si>
  <si>
    <t>15. From Sample_20 sheet, fetch the Age of student with ID = 22.</t>
  </si>
  <si>
    <t>16. From Sample_20, find City of ID = 37.</t>
  </si>
  <si>
    <t>17. Find the Age of the student named Arjun Yadav.</t>
  </si>
  <si>
    <t>18. Return the City of the student named Pooja Verma.</t>
  </si>
  <si>
    <t>19. Using VLOOKUP, return Marks of ID = 15 from ID_Marks.</t>
  </si>
  <si>
    <t>20. Using VLOOKUP, return Name of ID = 28 from ID_Name.</t>
  </si>
  <si>
    <t xml:space="preserve">Answers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</si>
</sst>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opLeftCell="A24" workbookViewId="0">
      <selection activeCell="H19" sqref="H19"/>
    </sheetView>
  </sheetViews>
  <sheetFormatPr defaultRowHeight="15" x14ac:dyDescent="0.25"/>
  <cols>
    <col min="8" max="8" width="18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25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25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25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25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25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25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25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25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25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25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25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25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25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25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25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25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25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25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25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25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25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25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25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25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25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25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25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25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25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25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25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25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25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25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25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25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25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25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25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25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25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25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25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25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25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25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25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25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25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opLeftCell="A27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11</v>
      </c>
    </row>
    <row r="6" spans="1:2" x14ac:dyDescent="0.25">
      <c r="A6">
        <v>5</v>
      </c>
      <c r="B6" t="s">
        <v>12</v>
      </c>
    </row>
    <row r="7" spans="1:2" x14ac:dyDescent="0.25">
      <c r="A7">
        <v>6</v>
      </c>
      <c r="B7" t="s">
        <v>14</v>
      </c>
    </row>
    <row r="8" spans="1:2" x14ac:dyDescent="0.25">
      <c r="A8">
        <v>7</v>
      </c>
      <c r="B8" t="s">
        <v>15</v>
      </c>
    </row>
    <row r="9" spans="1:2" x14ac:dyDescent="0.25">
      <c r="A9">
        <v>8</v>
      </c>
      <c r="B9" t="s">
        <v>17</v>
      </c>
    </row>
    <row r="10" spans="1:2" x14ac:dyDescent="0.25">
      <c r="A10">
        <v>9</v>
      </c>
      <c r="B10" t="s">
        <v>18</v>
      </c>
    </row>
    <row r="11" spans="1:2" x14ac:dyDescent="0.25">
      <c r="A11">
        <v>10</v>
      </c>
      <c r="B11" t="s">
        <v>19</v>
      </c>
    </row>
    <row r="12" spans="1:2" x14ac:dyDescent="0.25">
      <c r="A12">
        <v>11</v>
      </c>
      <c r="B12" t="s">
        <v>20</v>
      </c>
    </row>
    <row r="13" spans="1:2" x14ac:dyDescent="0.25">
      <c r="A13">
        <v>12</v>
      </c>
      <c r="B13" t="s">
        <v>21</v>
      </c>
    </row>
    <row r="14" spans="1:2" x14ac:dyDescent="0.25">
      <c r="A14">
        <v>13</v>
      </c>
      <c r="B14" t="s">
        <v>23</v>
      </c>
    </row>
    <row r="15" spans="1:2" x14ac:dyDescent="0.25">
      <c r="A15">
        <v>14</v>
      </c>
      <c r="B15" t="s">
        <v>24</v>
      </c>
    </row>
    <row r="16" spans="1:2" x14ac:dyDescent="0.25">
      <c r="A16">
        <v>15</v>
      </c>
      <c r="B16" t="s">
        <v>25</v>
      </c>
    </row>
    <row r="17" spans="1:2" x14ac:dyDescent="0.25">
      <c r="A17">
        <v>16</v>
      </c>
      <c r="B17" t="s">
        <v>26</v>
      </c>
    </row>
    <row r="18" spans="1:2" x14ac:dyDescent="0.25">
      <c r="A18">
        <v>17</v>
      </c>
      <c r="B18" t="s">
        <v>28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7</v>
      </c>
    </row>
    <row r="26" spans="1:2" x14ac:dyDescent="0.25">
      <c r="A26">
        <v>25</v>
      </c>
      <c r="B26" t="s">
        <v>21</v>
      </c>
    </row>
    <row r="27" spans="1:2" x14ac:dyDescent="0.25">
      <c r="A27">
        <v>26</v>
      </c>
      <c r="B27" t="s">
        <v>36</v>
      </c>
    </row>
    <row r="28" spans="1:2" x14ac:dyDescent="0.25">
      <c r="A28">
        <v>27</v>
      </c>
      <c r="B28" t="s">
        <v>37</v>
      </c>
    </row>
    <row r="29" spans="1:2" x14ac:dyDescent="0.25">
      <c r="A29">
        <v>28</v>
      </c>
      <c r="B29" t="s">
        <v>38</v>
      </c>
    </row>
    <row r="30" spans="1:2" x14ac:dyDescent="0.25">
      <c r="A30">
        <v>29</v>
      </c>
      <c r="B30" t="s">
        <v>39</v>
      </c>
    </row>
    <row r="31" spans="1:2" x14ac:dyDescent="0.25">
      <c r="A31">
        <v>30</v>
      </c>
      <c r="B31" t="s">
        <v>40</v>
      </c>
    </row>
    <row r="32" spans="1:2" x14ac:dyDescent="0.25">
      <c r="A32">
        <v>31</v>
      </c>
      <c r="B32" t="s">
        <v>41</v>
      </c>
    </row>
    <row r="33" spans="1:2" x14ac:dyDescent="0.25">
      <c r="A33">
        <v>32</v>
      </c>
      <c r="B33" t="s">
        <v>42</v>
      </c>
    </row>
    <row r="34" spans="1:2" x14ac:dyDescent="0.25">
      <c r="A34">
        <v>33</v>
      </c>
      <c r="B34" t="s">
        <v>43</v>
      </c>
    </row>
    <row r="35" spans="1:2" x14ac:dyDescent="0.25">
      <c r="A35">
        <v>34</v>
      </c>
      <c r="B35" t="s">
        <v>44</v>
      </c>
    </row>
    <row r="36" spans="1:2" x14ac:dyDescent="0.25">
      <c r="A36">
        <v>35</v>
      </c>
      <c r="B36" t="s">
        <v>45</v>
      </c>
    </row>
    <row r="37" spans="1:2" x14ac:dyDescent="0.25">
      <c r="A37">
        <v>36</v>
      </c>
      <c r="B37" t="s">
        <v>46</v>
      </c>
    </row>
    <row r="38" spans="1:2" x14ac:dyDescent="0.25">
      <c r="A38">
        <v>37</v>
      </c>
      <c r="B38" t="s">
        <v>47</v>
      </c>
    </row>
    <row r="39" spans="1:2" x14ac:dyDescent="0.25">
      <c r="A39">
        <v>38</v>
      </c>
      <c r="B39" t="s">
        <v>48</v>
      </c>
    </row>
    <row r="40" spans="1:2" x14ac:dyDescent="0.25">
      <c r="A40">
        <v>39</v>
      </c>
      <c r="B40" t="s">
        <v>49</v>
      </c>
    </row>
    <row r="41" spans="1:2" x14ac:dyDescent="0.25">
      <c r="A41">
        <v>40</v>
      </c>
      <c r="B41" t="s">
        <v>50</v>
      </c>
    </row>
    <row r="42" spans="1:2" x14ac:dyDescent="0.25">
      <c r="A42">
        <v>41</v>
      </c>
      <c r="B42" t="s">
        <v>51</v>
      </c>
    </row>
    <row r="43" spans="1:2" x14ac:dyDescent="0.25">
      <c r="A43">
        <v>42</v>
      </c>
      <c r="B43" t="s">
        <v>52</v>
      </c>
    </row>
    <row r="44" spans="1:2" x14ac:dyDescent="0.25">
      <c r="A44">
        <v>43</v>
      </c>
      <c r="B44" t="s">
        <v>53</v>
      </c>
    </row>
    <row r="45" spans="1:2" x14ac:dyDescent="0.25">
      <c r="A45">
        <v>44</v>
      </c>
      <c r="B45" t="s">
        <v>54</v>
      </c>
    </row>
    <row r="46" spans="1:2" x14ac:dyDescent="0.25">
      <c r="A46">
        <v>45</v>
      </c>
      <c r="B46" t="s">
        <v>55</v>
      </c>
    </row>
    <row r="47" spans="1:2" x14ac:dyDescent="0.25">
      <c r="A47">
        <v>46</v>
      </c>
      <c r="B47" t="s">
        <v>56</v>
      </c>
    </row>
    <row r="48" spans="1:2" x14ac:dyDescent="0.25">
      <c r="A48">
        <v>47</v>
      </c>
      <c r="B48" t="s">
        <v>57</v>
      </c>
    </row>
    <row r="49" spans="1:2" x14ac:dyDescent="0.25">
      <c r="A49">
        <v>48</v>
      </c>
      <c r="B49" t="s">
        <v>58</v>
      </c>
    </row>
    <row r="50" spans="1:2" x14ac:dyDescent="0.25">
      <c r="A50">
        <v>49</v>
      </c>
      <c r="B50" t="s">
        <v>59</v>
      </c>
    </row>
    <row r="51" spans="1:2" x14ac:dyDescent="0.25">
      <c r="A51">
        <v>50</v>
      </c>
      <c r="B51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topLeftCell="A37" workbookViewId="0">
      <selection activeCell="A26" sqref="A26"/>
    </sheetView>
  </sheetViews>
  <sheetFormatPr defaultRowHeight="15" x14ac:dyDescent="0.25"/>
  <sheetData>
    <row r="1" spans="1:2" x14ac:dyDescent="0.25">
      <c r="A1" s="1" t="s">
        <v>0</v>
      </c>
      <c r="B1" s="1" t="s">
        <v>3</v>
      </c>
    </row>
    <row r="2" spans="1:2" x14ac:dyDescent="0.25">
      <c r="A2">
        <v>1</v>
      </c>
      <c r="B2">
        <v>69</v>
      </c>
    </row>
    <row r="3" spans="1:2" x14ac:dyDescent="0.25">
      <c r="A3">
        <v>2</v>
      </c>
      <c r="B3">
        <v>49</v>
      </c>
    </row>
    <row r="4" spans="1:2" x14ac:dyDescent="0.25">
      <c r="A4">
        <v>3</v>
      </c>
      <c r="B4">
        <v>88</v>
      </c>
    </row>
    <row r="5" spans="1:2" x14ac:dyDescent="0.25">
      <c r="A5">
        <v>4</v>
      </c>
      <c r="B5">
        <v>60</v>
      </c>
    </row>
    <row r="6" spans="1:2" x14ac:dyDescent="0.25">
      <c r="A6">
        <v>5</v>
      </c>
      <c r="B6">
        <v>62</v>
      </c>
    </row>
    <row r="7" spans="1:2" x14ac:dyDescent="0.25">
      <c r="A7">
        <v>6</v>
      </c>
      <c r="B7">
        <v>66</v>
      </c>
    </row>
    <row r="8" spans="1:2" x14ac:dyDescent="0.25">
      <c r="A8">
        <v>7</v>
      </c>
      <c r="B8">
        <v>64</v>
      </c>
    </row>
    <row r="9" spans="1:2" x14ac:dyDescent="0.25">
      <c r="A9">
        <v>8</v>
      </c>
      <c r="B9">
        <v>73</v>
      </c>
    </row>
    <row r="10" spans="1:2" x14ac:dyDescent="0.25">
      <c r="A10">
        <v>9</v>
      </c>
      <c r="B10">
        <v>83</v>
      </c>
    </row>
    <row r="11" spans="1:2" x14ac:dyDescent="0.25">
      <c r="A11">
        <v>10</v>
      </c>
      <c r="B11">
        <v>52</v>
      </c>
    </row>
    <row r="12" spans="1:2" x14ac:dyDescent="0.25">
      <c r="A12">
        <v>11</v>
      </c>
      <c r="B12">
        <v>92</v>
      </c>
    </row>
    <row r="13" spans="1:2" x14ac:dyDescent="0.25">
      <c r="A13">
        <v>12</v>
      </c>
      <c r="B13">
        <v>60</v>
      </c>
    </row>
    <row r="14" spans="1:2" x14ac:dyDescent="0.25">
      <c r="A14">
        <v>13</v>
      </c>
      <c r="B14">
        <v>54</v>
      </c>
    </row>
    <row r="15" spans="1:2" x14ac:dyDescent="0.25">
      <c r="A15">
        <v>14</v>
      </c>
      <c r="B15">
        <v>77</v>
      </c>
    </row>
    <row r="16" spans="1:2" x14ac:dyDescent="0.25">
      <c r="A16">
        <v>15</v>
      </c>
      <c r="B16">
        <v>51</v>
      </c>
    </row>
    <row r="17" spans="1:2" x14ac:dyDescent="0.25">
      <c r="A17">
        <v>16</v>
      </c>
      <c r="B17">
        <v>99</v>
      </c>
    </row>
    <row r="18" spans="1:2" x14ac:dyDescent="0.25">
      <c r="A18">
        <v>17</v>
      </c>
      <c r="B18">
        <v>87</v>
      </c>
    </row>
    <row r="19" spans="1:2" x14ac:dyDescent="0.25">
      <c r="A19">
        <v>18</v>
      </c>
      <c r="B19">
        <v>85</v>
      </c>
    </row>
    <row r="20" spans="1:2" x14ac:dyDescent="0.25">
      <c r="A20">
        <v>19</v>
      </c>
      <c r="B20">
        <v>53</v>
      </c>
    </row>
    <row r="21" spans="1:2" x14ac:dyDescent="0.25">
      <c r="A21">
        <v>20</v>
      </c>
      <c r="B21">
        <v>50</v>
      </c>
    </row>
    <row r="22" spans="1:2" x14ac:dyDescent="0.25">
      <c r="A22">
        <v>21</v>
      </c>
      <c r="B22">
        <v>76</v>
      </c>
    </row>
    <row r="23" spans="1:2" x14ac:dyDescent="0.25">
      <c r="A23">
        <v>22</v>
      </c>
      <c r="B23">
        <v>43</v>
      </c>
    </row>
    <row r="24" spans="1:2" x14ac:dyDescent="0.25">
      <c r="A24">
        <v>23</v>
      </c>
      <c r="B24">
        <v>81</v>
      </c>
    </row>
    <row r="25" spans="1:2" x14ac:dyDescent="0.25">
      <c r="A25">
        <v>24</v>
      </c>
      <c r="B25">
        <v>68</v>
      </c>
    </row>
    <row r="26" spans="1:2" x14ac:dyDescent="0.25">
      <c r="A26">
        <v>25</v>
      </c>
      <c r="B26">
        <v>54</v>
      </c>
    </row>
    <row r="27" spans="1:2" x14ac:dyDescent="0.25">
      <c r="A27">
        <v>26</v>
      </c>
      <c r="B27">
        <v>48</v>
      </c>
    </row>
    <row r="28" spans="1:2" x14ac:dyDescent="0.25">
      <c r="A28">
        <v>27</v>
      </c>
      <c r="B28">
        <v>71</v>
      </c>
    </row>
    <row r="29" spans="1:2" x14ac:dyDescent="0.25">
      <c r="A29">
        <v>28</v>
      </c>
      <c r="B29">
        <v>57</v>
      </c>
    </row>
    <row r="30" spans="1:2" x14ac:dyDescent="0.25">
      <c r="A30">
        <v>29</v>
      </c>
      <c r="B30">
        <v>78</v>
      </c>
    </row>
    <row r="31" spans="1:2" x14ac:dyDescent="0.25">
      <c r="A31">
        <v>30</v>
      </c>
      <c r="B31">
        <v>90</v>
      </c>
    </row>
    <row r="32" spans="1:2" x14ac:dyDescent="0.25">
      <c r="A32">
        <v>31</v>
      </c>
      <c r="B32">
        <v>79</v>
      </c>
    </row>
    <row r="33" spans="1:2" x14ac:dyDescent="0.25">
      <c r="A33">
        <v>32</v>
      </c>
      <c r="B33">
        <v>89</v>
      </c>
    </row>
    <row r="34" spans="1:2" x14ac:dyDescent="0.25">
      <c r="A34">
        <v>33</v>
      </c>
      <c r="B34">
        <v>82</v>
      </c>
    </row>
    <row r="35" spans="1:2" x14ac:dyDescent="0.25">
      <c r="A35">
        <v>34</v>
      </c>
      <c r="B35">
        <v>93</v>
      </c>
    </row>
    <row r="36" spans="1:2" x14ac:dyDescent="0.25">
      <c r="A36">
        <v>35</v>
      </c>
      <c r="B36">
        <v>42</v>
      </c>
    </row>
    <row r="37" spans="1:2" x14ac:dyDescent="0.25">
      <c r="A37">
        <v>36</v>
      </c>
      <c r="B37">
        <v>87</v>
      </c>
    </row>
    <row r="38" spans="1:2" x14ac:dyDescent="0.25">
      <c r="A38">
        <v>37</v>
      </c>
      <c r="B38">
        <v>41</v>
      </c>
    </row>
    <row r="39" spans="1:2" x14ac:dyDescent="0.25">
      <c r="A39">
        <v>38</v>
      </c>
      <c r="B39">
        <v>47</v>
      </c>
    </row>
    <row r="40" spans="1:2" x14ac:dyDescent="0.25">
      <c r="A40">
        <v>39</v>
      </c>
      <c r="B40">
        <v>85</v>
      </c>
    </row>
    <row r="41" spans="1:2" x14ac:dyDescent="0.25">
      <c r="A41">
        <v>40</v>
      </c>
      <c r="B41">
        <v>90</v>
      </c>
    </row>
    <row r="42" spans="1:2" x14ac:dyDescent="0.25">
      <c r="A42">
        <v>41</v>
      </c>
      <c r="B42">
        <v>48</v>
      </c>
    </row>
    <row r="43" spans="1:2" x14ac:dyDescent="0.25">
      <c r="A43">
        <v>42</v>
      </c>
      <c r="B43">
        <v>93</v>
      </c>
    </row>
    <row r="44" spans="1:2" x14ac:dyDescent="0.25">
      <c r="A44">
        <v>43</v>
      </c>
      <c r="B44">
        <v>75</v>
      </c>
    </row>
    <row r="45" spans="1:2" x14ac:dyDescent="0.25">
      <c r="A45">
        <v>44</v>
      </c>
      <c r="B45">
        <v>87</v>
      </c>
    </row>
    <row r="46" spans="1:2" x14ac:dyDescent="0.25">
      <c r="A46">
        <v>45</v>
      </c>
      <c r="B46">
        <v>96</v>
      </c>
    </row>
    <row r="47" spans="1:2" x14ac:dyDescent="0.25">
      <c r="A47">
        <v>46</v>
      </c>
      <c r="B47">
        <v>60</v>
      </c>
    </row>
    <row r="48" spans="1:2" x14ac:dyDescent="0.25">
      <c r="A48">
        <v>47</v>
      </c>
      <c r="B48">
        <v>52</v>
      </c>
    </row>
    <row r="49" spans="1:2" x14ac:dyDescent="0.25">
      <c r="A49">
        <v>48</v>
      </c>
      <c r="B49">
        <v>72</v>
      </c>
    </row>
    <row r="50" spans="1:2" x14ac:dyDescent="0.25">
      <c r="A50">
        <v>49</v>
      </c>
      <c r="B50">
        <v>43</v>
      </c>
    </row>
    <row r="51" spans="1:2" x14ac:dyDescent="0.25">
      <c r="A51">
        <v>50</v>
      </c>
      <c r="B51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>
        <v>1</v>
      </c>
      <c r="B2" t="s">
        <v>6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6</v>
      </c>
    </row>
    <row r="6" spans="1:2" x14ac:dyDescent="0.25">
      <c r="A6">
        <v>5</v>
      </c>
      <c r="B6" t="s">
        <v>13</v>
      </c>
    </row>
    <row r="7" spans="1:2" x14ac:dyDescent="0.25">
      <c r="A7">
        <v>6</v>
      </c>
      <c r="B7" t="s">
        <v>13</v>
      </c>
    </row>
    <row r="8" spans="1:2" x14ac:dyDescent="0.25">
      <c r="A8">
        <v>7</v>
      </c>
      <c r="B8" t="s">
        <v>16</v>
      </c>
    </row>
    <row r="9" spans="1:2" x14ac:dyDescent="0.25">
      <c r="A9">
        <v>8</v>
      </c>
      <c r="B9" t="s">
        <v>6</v>
      </c>
    </row>
    <row r="10" spans="1:2" x14ac:dyDescent="0.25">
      <c r="A10">
        <v>9</v>
      </c>
      <c r="B10" t="s">
        <v>13</v>
      </c>
    </row>
    <row r="11" spans="1:2" x14ac:dyDescent="0.25">
      <c r="A11">
        <v>10</v>
      </c>
      <c r="B11" t="s">
        <v>16</v>
      </c>
    </row>
    <row r="12" spans="1:2" x14ac:dyDescent="0.25">
      <c r="A12">
        <v>11</v>
      </c>
      <c r="B12" t="s">
        <v>8</v>
      </c>
    </row>
    <row r="13" spans="1:2" x14ac:dyDescent="0.25">
      <c r="A13">
        <v>12</v>
      </c>
      <c r="B13" t="s">
        <v>22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16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27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22</v>
      </c>
    </row>
    <row r="20" spans="1:2" x14ac:dyDescent="0.25">
      <c r="A20">
        <v>19</v>
      </c>
      <c r="B20" t="s">
        <v>10</v>
      </c>
    </row>
    <row r="21" spans="1:2" x14ac:dyDescent="0.25">
      <c r="A21">
        <v>20</v>
      </c>
      <c r="B21" t="s">
        <v>29</v>
      </c>
    </row>
    <row r="22" spans="1:2" x14ac:dyDescent="0.25">
      <c r="A22">
        <v>21</v>
      </c>
      <c r="B22" t="s">
        <v>8</v>
      </c>
    </row>
    <row r="23" spans="1:2" x14ac:dyDescent="0.25">
      <c r="A23">
        <v>22</v>
      </c>
      <c r="B23" t="s">
        <v>29</v>
      </c>
    </row>
    <row r="24" spans="1:2" x14ac:dyDescent="0.25">
      <c r="A24">
        <v>23</v>
      </c>
      <c r="B24" t="s">
        <v>10</v>
      </c>
    </row>
    <row r="25" spans="1:2" x14ac:dyDescent="0.25">
      <c r="A25">
        <v>24</v>
      </c>
      <c r="B25" t="s">
        <v>27</v>
      </c>
    </row>
    <row r="26" spans="1:2" x14ac:dyDescent="0.25">
      <c r="A26">
        <v>25</v>
      </c>
      <c r="B26" t="s">
        <v>27</v>
      </c>
    </row>
    <row r="27" spans="1:2" x14ac:dyDescent="0.25">
      <c r="A27">
        <v>26</v>
      </c>
      <c r="B27" t="s">
        <v>29</v>
      </c>
    </row>
    <row r="28" spans="1:2" x14ac:dyDescent="0.25">
      <c r="A28">
        <v>27</v>
      </c>
      <c r="B28" t="s">
        <v>22</v>
      </c>
    </row>
    <row r="29" spans="1:2" x14ac:dyDescent="0.25">
      <c r="A29">
        <v>28</v>
      </c>
      <c r="B29" t="s">
        <v>13</v>
      </c>
    </row>
    <row r="30" spans="1:2" x14ac:dyDescent="0.25">
      <c r="A30">
        <v>29</v>
      </c>
      <c r="B30" t="s">
        <v>16</v>
      </c>
    </row>
    <row r="31" spans="1:2" x14ac:dyDescent="0.25">
      <c r="A31">
        <v>30</v>
      </c>
      <c r="B31" t="s">
        <v>10</v>
      </c>
    </row>
    <row r="32" spans="1:2" x14ac:dyDescent="0.25">
      <c r="A32">
        <v>31</v>
      </c>
      <c r="B32" t="s">
        <v>22</v>
      </c>
    </row>
    <row r="33" spans="1:2" x14ac:dyDescent="0.25">
      <c r="A33">
        <v>32</v>
      </c>
      <c r="B33" t="s">
        <v>8</v>
      </c>
    </row>
    <row r="34" spans="1:2" x14ac:dyDescent="0.25">
      <c r="A34">
        <v>33</v>
      </c>
      <c r="B34" t="s">
        <v>22</v>
      </c>
    </row>
    <row r="35" spans="1:2" x14ac:dyDescent="0.25">
      <c r="A35">
        <v>34</v>
      </c>
      <c r="B35" t="s">
        <v>8</v>
      </c>
    </row>
    <row r="36" spans="1:2" x14ac:dyDescent="0.25">
      <c r="A36">
        <v>35</v>
      </c>
      <c r="B36" t="s">
        <v>27</v>
      </c>
    </row>
    <row r="37" spans="1:2" x14ac:dyDescent="0.25">
      <c r="A37">
        <v>36</v>
      </c>
      <c r="B37" t="s">
        <v>13</v>
      </c>
    </row>
    <row r="38" spans="1:2" x14ac:dyDescent="0.25">
      <c r="A38">
        <v>37</v>
      </c>
      <c r="B38" t="s">
        <v>10</v>
      </c>
    </row>
    <row r="39" spans="1:2" x14ac:dyDescent="0.25">
      <c r="A39">
        <v>38</v>
      </c>
      <c r="B39" t="s">
        <v>16</v>
      </c>
    </row>
    <row r="40" spans="1:2" x14ac:dyDescent="0.25">
      <c r="A40">
        <v>39</v>
      </c>
      <c r="B40" t="s">
        <v>6</v>
      </c>
    </row>
    <row r="41" spans="1:2" x14ac:dyDescent="0.25">
      <c r="A41">
        <v>40</v>
      </c>
      <c r="B41" t="s">
        <v>16</v>
      </c>
    </row>
    <row r="42" spans="1:2" x14ac:dyDescent="0.25">
      <c r="A42">
        <v>41</v>
      </c>
      <c r="B42" t="s">
        <v>27</v>
      </c>
    </row>
    <row r="43" spans="1:2" x14ac:dyDescent="0.25">
      <c r="A43">
        <v>42</v>
      </c>
      <c r="B43" t="s">
        <v>10</v>
      </c>
    </row>
    <row r="44" spans="1:2" x14ac:dyDescent="0.25">
      <c r="A44">
        <v>43</v>
      </c>
      <c r="B44" t="s">
        <v>29</v>
      </c>
    </row>
    <row r="45" spans="1:2" x14ac:dyDescent="0.25">
      <c r="A45">
        <v>44</v>
      </c>
      <c r="B45" t="s">
        <v>16</v>
      </c>
    </row>
    <row r="46" spans="1:2" x14ac:dyDescent="0.25">
      <c r="A46">
        <v>45</v>
      </c>
      <c r="B46" t="s">
        <v>27</v>
      </c>
    </row>
    <row r="47" spans="1:2" x14ac:dyDescent="0.25">
      <c r="A47">
        <v>46</v>
      </c>
      <c r="B47" t="s">
        <v>27</v>
      </c>
    </row>
    <row r="48" spans="1:2" x14ac:dyDescent="0.25">
      <c r="A48">
        <v>47</v>
      </c>
      <c r="B48" t="s">
        <v>16</v>
      </c>
    </row>
    <row r="49" spans="1:2" x14ac:dyDescent="0.25">
      <c r="A49">
        <v>48</v>
      </c>
      <c r="B49" t="s">
        <v>13</v>
      </c>
    </row>
    <row r="50" spans="1:2" x14ac:dyDescent="0.25">
      <c r="A50">
        <v>49</v>
      </c>
      <c r="B50" t="s">
        <v>29</v>
      </c>
    </row>
    <row r="51" spans="1:2" x14ac:dyDescent="0.25">
      <c r="A51">
        <v>50</v>
      </c>
      <c r="B5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B7" sqref="B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25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25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25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25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25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25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25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25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25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25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25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25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25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25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25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25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25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25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25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E3C39-743D-4669-98AF-8462537852BB}">
  <dimension ref="A1:B22"/>
  <sheetViews>
    <sheetView tabSelected="1" workbookViewId="0">
      <selection activeCell="B16" sqref="B16"/>
    </sheetView>
  </sheetViews>
  <sheetFormatPr defaultRowHeight="15" x14ac:dyDescent="0.25"/>
  <cols>
    <col min="1" max="1" width="64.5703125" customWidth="1"/>
    <col min="2" max="2" width="19.140625" customWidth="1"/>
  </cols>
  <sheetData>
    <row r="1" spans="1:2" ht="15.75" x14ac:dyDescent="0.25">
      <c r="A1" s="2" t="s">
        <v>62</v>
      </c>
      <c r="B1" s="2" t="s">
        <v>82</v>
      </c>
    </row>
    <row r="3" spans="1:2" x14ac:dyDescent="0.25">
      <c r="A3" s="3" t="s">
        <v>61</v>
      </c>
      <c r="B3" s="4">
        <f>VLOOKUP(10,Students!A2:E51,3,FALSE)</f>
        <v>30</v>
      </c>
    </row>
    <row r="4" spans="1:2" x14ac:dyDescent="0.25">
      <c r="A4" s="3" t="s">
        <v>63</v>
      </c>
      <c r="B4" s="4">
        <f>VLOOKUP(25,ID_Marks!A2:B51,2,FALSE)</f>
        <v>54</v>
      </c>
    </row>
    <row r="5" spans="1:2" x14ac:dyDescent="0.25">
      <c r="A5" s="3" t="s">
        <v>64</v>
      </c>
      <c r="B5" s="4" t="str">
        <f>VLOOKUP(40,ID_City!A2:B51,2,FALSE)</f>
        <v>Agra</v>
      </c>
    </row>
    <row r="6" spans="1:2" x14ac:dyDescent="0.25">
      <c r="A6" s="3" t="s">
        <v>65</v>
      </c>
      <c r="B6" s="4" t="str">
        <f>VLOOKUP(7,ID_Name!A2:C51,2,FALSE)</f>
        <v>Suresh Yadav</v>
      </c>
    </row>
    <row r="7" spans="1:2" x14ac:dyDescent="0.25">
      <c r="A7" s="3" t="s">
        <v>66</v>
      </c>
      <c r="B7" s="4">
        <f>VLOOKUP("Rohit Sharma",Students!B2:E51,3,FALSE)</f>
        <v>52</v>
      </c>
    </row>
    <row r="8" spans="1:2" x14ac:dyDescent="0.25">
      <c r="A8" s="3" t="s">
        <v>67</v>
      </c>
      <c r="B8" s="4" t="e">
        <f>VLOOKUP("Anjali Gupta",Students!C2:E51,2,FALSE)</f>
        <v>#N/A</v>
      </c>
    </row>
    <row r="9" spans="1:2" x14ac:dyDescent="0.25">
      <c r="A9" s="3" t="s">
        <v>68</v>
      </c>
      <c r="B9" s="4" t="e">
        <f>VLOOKUP("Neha Singh",Students!B2:E51,4,FALSE)</f>
        <v>#N/A</v>
      </c>
    </row>
    <row r="10" spans="1:2" x14ac:dyDescent="0.25">
      <c r="A10" s="3" t="s">
        <v>69</v>
      </c>
      <c r="B10" s="4">
        <f>VLOOKUP(18,ID_Marks!A2:B51,2,FALSE)</f>
        <v>85</v>
      </c>
    </row>
    <row r="11" spans="1:2" x14ac:dyDescent="0.25">
      <c r="A11" s="3" t="s">
        <v>70</v>
      </c>
      <c r="B11" s="4" t="str">
        <f>VLOOKUP(12,ID_City!A2:B51,2,FALSE)</f>
        <v>Patna</v>
      </c>
    </row>
    <row r="12" spans="1:2" x14ac:dyDescent="0.25">
      <c r="A12" s="3" t="s">
        <v>71</v>
      </c>
      <c r="B12" s="4" t="str">
        <f>VLOOKUP(30,ID_Name!A2:C51,2,FALSE)</f>
        <v>Komal Sharma</v>
      </c>
    </row>
    <row r="13" spans="1:2" x14ac:dyDescent="0.25">
      <c r="A13" s="3" t="s">
        <v>72</v>
      </c>
      <c r="B13" s="4" t="str">
        <f>VLOOKUP(5,Students!A2:E51,5,FALSE)</f>
        <v>Lucknow</v>
      </c>
    </row>
    <row r="14" spans="1:2" x14ac:dyDescent="0.25">
      <c r="A14" s="3" t="s">
        <v>73</v>
      </c>
      <c r="B14" s="4">
        <f>VLOOKUP(33,ID_Marks!A2:B51,2,FALSE)</f>
        <v>82</v>
      </c>
    </row>
    <row r="15" spans="1:2" x14ac:dyDescent="0.25">
      <c r="A15" s="3" t="s">
        <v>74</v>
      </c>
      <c r="B15" s="4" t="str">
        <f>VLOOKUP(49,ID_Name!A2:C51,2,FALSE)</f>
        <v>Vivaan Jha</v>
      </c>
    </row>
    <row r="16" spans="1:2" x14ac:dyDescent="0.25">
      <c r="A16" s="3" t="s">
        <v>75</v>
      </c>
      <c r="B16" s="4">
        <f>VLOOKUP("Lucknow",CHOOSE({1,2},Students!E2:E51,Students!D2:D51),2,FALSE)</f>
        <v>62</v>
      </c>
    </row>
    <row r="17" spans="1:2" x14ac:dyDescent="0.25">
      <c r="A17" s="3" t="s">
        <v>76</v>
      </c>
      <c r="B17" s="4">
        <f>VLOOKUP(22,Sample_20!A2:E21,3,FALSE)</f>
        <v>28</v>
      </c>
    </row>
    <row r="18" spans="1:2" x14ac:dyDescent="0.25">
      <c r="A18" s="3" t="s">
        <v>77</v>
      </c>
      <c r="B18" s="4" t="e">
        <f>VLOOKUP(37,Sample_20!A2:E21,5,FALSE)</f>
        <v>#N/A</v>
      </c>
    </row>
    <row r="19" spans="1:2" x14ac:dyDescent="0.25">
      <c r="A19" s="3" t="s">
        <v>78</v>
      </c>
      <c r="B19" s="4" t="e">
        <f>VLOOKUP("Arjun Yadav",Students!B2:E51,2,FALSE)</f>
        <v>#N/A</v>
      </c>
    </row>
    <row r="20" spans="1:2" x14ac:dyDescent="0.25">
      <c r="A20" s="3" t="s">
        <v>79</v>
      </c>
      <c r="B20" s="4" t="e">
        <f>VLOOKUP("Pooja Verma",Students!B2:E51,4,FALSE)</f>
        <v>#N/A</v>
      </c>
    </row>
    <row r="21" spans="1:2" x14ac:dyDescent="0.25">
      <c r="A21" s="3" t="s">
        <v>80</v>
      </c>
      <c r="B21" s="4">
        <f>VLOOKUP(15,ID_Marks!A2:B51,2,FALSE)</f>
        <v>51</v>
      </c>
    </row>
    <row r="22" spans="1:2" x14ac:dyDescent="0.25">
      <c r="A22" s="3" t="s">
        <v>81</v>
      </c>
      <c r="B22" s="4" t="str">
        <f>VLOOKUP(28,ID_Name!A2:C51,2,FALSE)</f>
        <v>Harsh Gupta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ID_Name</vt:lpstr>
      <vt:lpstr>ID_Marks</vt:lpstr>
      <vt:lpstr>ID_City</vt:lpstr>
      <vt:lpstr>Sample_20</vt:lpstr>
      <vt:lpstr>Solution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2025-09-29T08:00:59Z</dcterms:created>
  <dcterms:modified xsi:type="dcterms:W3CDTF">2026-05-18T08:29:03Z</dcterms:modified>
</cp:coreProperties>
</file>